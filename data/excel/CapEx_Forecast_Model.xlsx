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13_ncr:1_{7DE4140E-45B1-4C83-A477-9A0645C0AE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pEx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D19" i="1" s="1"/>
  <c r="D18" i="1"/>
  <c r="C18" i="1"/>
  <c r="D17" i="1"/>
  <c r="C17" i="1"/>
  <c r="C16" i="1"/>
  <c r="D16" i="1" s="1"/>
  <c r="F19" i="1" s="1"/>
  <c r="C15" i="1"/>
  <c r="D15" i="1" s="1"/>
  <c r="D14" i="1"/>
  <c r="C14" i="1"/>
  <c r="C13" i="1"/>
  <c r="D13" i="1" s="1"/>
  <c r="F16" i="1" s="1"/>
  <c r="C12" i="1"/>
  <c r="D12" i="1" s="1"/>
  <c r="D11" i="1"/>
  <c r="C11" i="1"/>
  <c r="F10" i="1"/>
  <c r="D10" i="1"/>
  <c r="C10" i="1"/>
  <c r="D9" i="1"/>
  <c r="C9" i="1"/>
  <c r="D8" i="1"/>
  <c r="C8" i="1"/>
  <c r="D7" i="1"/>
  <c r="C7" i="1"/>
  <c r="C6" i="1"/>
  <c r="D6" i="1" s="1"/>
  <c r="F9" i="1" s="1"/>
  <c r="C5" i="1"/>
  <c r="D5" i="1" s="1"/>
  <c r="F8" i="1" s="1"/>
  <c r="C4" i="1"/>
  <c r="D4" i="1" s="1"/>
  <c r="F13" i="1" l="1"/>
  <c r="F12" i="1"/>
  <c r="F11" i="1"/>
  <c r="F14" i="1"/>
  <c r="F15" i="1"/>
  <c r="F18" i="1"/>
  <c r="F17" i="1"/>
  <c r="F6" i="1"/>
  <c r="F5" i="1"/>
  <c r="F4" i="1"/>
  <c r="G4" i="1" s="1"/>
  <c r="E5" i="1" s="1"/>
  <c r="F7" i="1"/>
  <c r="G5" i="1" l="1"/>
  <c r="E6" i="1" s="1"/>
  <c r="G6" i="1" s="1"/>
  <c r="E7" i="1" s="1"/>
  <c r="G7" i="1" s="1"/>
  <c r="E8" i="1" s="1"/>
  <c r="G8" i="1" s="1"/>
  <c r="E9" i="1" s="1"/>
  <c r="G9" i="1" s="1"/>
  <c r="E10" i="1" s="1"/>
  <c r="G10" i="1" s="1"/>
  <c r="E11" i="1" s="1"/>
  <c r="G11" i="1" s="1"/>
  <c r="E12" i="1" s="1"/>
  <c r="G12" i="1" s="1"/>
  <c r="E13" i="1" s="1"/>
  <c r="G13" i="1" s="1"/>
  <c r="E14" i="1" s="1"/>
  <c r="G14" i="1" s="1"/>
  <c r="E15" i="1" s="1"/>
  <c r="G15" i="1" s="1"/>
  <c r="E16" i="1" s="1"/>
  <c r="G16" i="1" s="1"/>
  <c r="E17" i="1" s="1"/>
  <c r="G17" i="1" s="1"/>
  <c r="E18" i="1" s="1"/>
  <c r="G18" i="1" s="1"/>
  <c r="E19" i="1" s="1"/>
  <c r="G19" i="1" s="1"/>
</calcChain>
</file>

<file path=xl/sharedStrings.xml><?xml version="1.0" encoding="utf-8"?>
<sst xmlns="http://schemas.openxmlformats.org/spreadsheetml/2006/main" count="9" uniqueCount="9">
  <si>
    <t>Inflation rate</t>
  </si>
  <si>
    <t>Useful life (years)</t>
  </si>
  <si>
    <t>Year</t>
  </si>
  <si>
    <t>Base CapEx</t>
  </si>
  <si>
    <t>Inflation Factor</t>
  </si>
  <si>
    <t>Inflation-Adjusted CapEx</t>
  </si>
  <si>
    <t>Opening NBV</t>
  </si>
  <si>
    <t>Depreciation</t>
  </si>
  <si>
    <t>Closing NBV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</si>
</sst>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7" sqref="J7"/>
    </sheetView>
  </sheetViews>
  <sheetFormatPr defaultRowHeight="14.5" x14ac:dyDescent="0.35"/>
  <cols>
    <col min="1" max="7" width="18" customWidth="1"/>
  </cols>
  <sheetData>
    <row r="1" spans="1:7" x14ac:dyDescent="0.35">
      <c r="A1" s="3" t="s">
        <v>0</v>
      </c>
      <c r="B1" s="4">
        <v>0.05</v>
      </c>
    </row>
    <row r="2" spans="1:7" x14ac:dyDescent="0.35">
      <c r="A2" s="3" t="s">
        <v>1</v>
      </c>
      <c r="B2" s="4">
        <v>5</v>
      </c>
    </row>
    <row r="3" spans="1:7" ht="30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35">
      <c r="A4" s="1">
        <v>2015</v>
      </c>
      <c r="B4" s="1">
        <v>81</v>
      </c>
      <c r="C4" s="1">
        <f t="shared" ref="C4:C19" si="0">(1+$B$1)^(A4-2015)</f>
        <v>1</v>
      </c>
      <c r="D4" s="1">
        <f t="shared" ref="D4:D19" si="1">B4*C4</f>
        <v>81</v>
      </c>
      <c r="E4" s="1">
        <v>0</v>
      </c>
      <c r="F4" s="1">
        <f t="shared" ref="F4:F19" ca="1" si="2">SUM(OFFSET($D$4,MAX(0,ROW()-$B$2-2),0,MIN(ROW()-3,$B$2),1))/$B$2</f>
        <v>16.2</v>
      </c>
      <c r="G4" s="1">
        <f t="shared" ref="G4:G19" ca="1" si="3">E4+D4-F4</f>
        <v>64.8</v>
      </c>
    </row>
    <row r="5" spans="1:7" x14ac:dyDescent="0.35">
      <c r="A5" s="1">
        <v>2016</v>
      </c>
      <c r="B5" s="1">
        <v>55</v>
      </c>
      <c r="C5" s="1">
        <f t="shared" si="0"/>
        <v>1.05</v>
      </c>
      <c r="D5" s="1">
        <f t="shared" si="1"/>
        <v>57.75</v>
      </c>
      <c r="E5" s="1">
        <f t="shared" ref="E5:E19" ca="1" si="4">G4</f>
        <v>64.8</v>
      </c>
      <c r="F5" s="1">
        <f t="shared" ca="1" si="2"/>
        <v>27.75</v>
      </c>
      <c r="G5" s="1">
        <f t="shared" ca="1" si="3"/>
        <v>94.8</v>
      </c>
    </row>
    <row r="6" spans="1:7" x14ac:dyDescent="0.35">
      <c r="A6" s="1">
        <v>2017</v>
      </c>
      <c r="B6" s="1">
        <v>95</v>
      </c>
      <c r="C6" s="1">
        <f t="shared" si="0"/>
        <v>1.1025</v>
      </c>
      <c r="D6" s="1">
        <f t="shared" si="1"/>
        <v>104.7375</v>
      </c>
      <c r="E6" s="1">
        <f t="shared" ca="1" si="4"/>
        <v>94.8</v>
      </c>
      <c r="F6" s="1">
        <f t="shared" ca="1" si="2"/>
        <v>48.697500000000005</v>
      </c>
      <c r="G6" s="1">
        <f t="shared" ca="1" si="3"/>
        <v>150.83999999999997</v>
      </c>
    </row>
    <row r="7" spans="1:7" x14ac:dyDescent="0.35">
      <c r="A7" s="1">
        <v>2018</v>
      </c>
      <c r="B7" s="1">
        <v>13</v>
      </c>
      <c r="C7" s="1">
        <f t="shared" si="0"/>
        <v>1.1576250000000001</v>
      </c>
      <c r="D7" s="1">
        <f t="shared" si="1"/>
        <v>15.049125000000002</v>
      </c>
      <c r="E7" s="1">
        <f t="shared" ca="1" si="4"/>
        <v>150.83999999999997</v>
      </c>
      <c r="F7" s="1">
        <f t="shared" ca="1" si="2"/>
        <v>51.707325000000004</v>
      </c>
      <c r="G7" s="1">
        <f t="shared" ca="1" si="3"/>
        <v>114.18179999999998</v>
      </c>
    </row>
    <row r="8" spans="1:7" x14ac:dyDescent="0.35">
      <c r="A8" s="1">
        <v>2019</v>
      </c>
      <c r="B8" s="1">
        <v>67</v>
      </c>
      <c r="C8" s="1">
        <f t="shared" si="0"/>
        <v>1.21550625</v>
      </c>
      <c r="D8" s="1">
        <f t="shared" si="1"/>
        <v>81.438918749999999</v>
      </c>
      <c r="E8" s="1">
        <f t="shared" ca="1" si="4"/>
        <v>114.18179999999998</v>
      </c>
      <c r="F8" s="1">
        <f t="shared" ca="1" si="2"/>
        <v>56.389722375000005</v>
      </c>
      <c r="G8" s="1">
        <f t="shared" ca="1" si="3"/>
        <v>139.23099637499996</v>
      </c>
    </row>
    <row r="9" spans="1:7" x14ac:dyDescent="0.35">
      <c r="A9" s="1">
        <v>2020</v>
      </c>
      <c r="B9" s="1">
        <v>18</v>
      </c>
      <c r="C9" s="1">
        <f t="shared" si="0"/>
        <v>1.2762815625000001</v>
      </c>
      <c r="D9" s="1">
        <f t="shared" si="1"/>
        <v>22.973068125000001</v>
      </c>
      <c r="E9" s="1">
        <f t="shared" ca="1" si="4"/>
        <v>139.23099637499996</v>
      </c>
      <c r="F9" s="1">
        <f t="shared" ca="1" si="2"/>
        <v>59.312755293750001</v>
      </c>
      <c r="G9" s="1">
        <f t="shared" ca="1" si="3"/>
        <v>102.89130920624996</v>
      </c>
    </row>
    <row r="10" spans="1:7" x14ac:dyDescent="0.35">
      <c r="A10" s="1">
        <v>2021</v>
      </c>
      <c r="B10" s="1">
        <v>54</v>
      </c>
      <c r="C10" s="1">
        <f t="shared" si="0"/>
        <v>1.340095640625</v>
      </c>
      <c r="D10" s="1">
        <f t="shared" si="1"/>
        <v>72.365164593749995</v>
      </c>
      <c r="E10" s="1">
        <f t="shared" ca="1" si="4"/>
        <v>102.89130920624996</v>
      </c>
      <c r="F10" s="1">
        <f t="shared" ca="1" si="2"/>
        <v>54.687620196562499</v>
      </c>
      <c r="G10" s="1">
        <f t="shared" ca="1" si="3"/>
        <v>120.56885360343745</v>
      </c>
    </row>
    <row r="11" spans="1:7" x14ac:dyDescent="0.35">
      <c r="A11" s="1">
        <v>2022</v>
      </c>
      <c r="B11" s="1">
        <v>58</v>
      </c>
      <c r="C11" s="1">
        <f t="shared" si="0"/>
        <v>1.4071004226562502</v>
      </c>
      <c r="D11" s="1">
        <f t="shared" si="1"/>
        <v>81.611824514062519</v>
      </c>
      <c r="E11" s="1">
        <f t="shared" ca="1" si="4"/>
        <v>120.56885360343745</v>
      </c>
      <c r="F11" s="1">
        <f t="shared" ca="1" si="2"/>
        <v>58.17859914923438</v>
      </c>
      <c r="G11" s="1">
        <f t="shared" ca="1" si="3"/>
        <v>144.00207896826558</v>
      </c>
    </row>
    <row r="12" spans="1:7" x14ac:dyDescent="0.35">
      <c r="A12" s="1">
        <v>2023</v>
      </c>
      <c r="B12" s="1">
        <v>22</v>
      </c>
      <c r="C12" s="1">
        <f t="shared" si="0"/>
        <v>1.4774554437890626</v>
      </c>
      <c r="D12" s="1">
        <f t="shared" si="1"/>
        <v>32.504019763359373</v>
      </c>
      <c r="E12" s="1">
        <f t="shared" ca="1" si="4"/>
        <v>144.00207896826558</v>
      </c>
      <c r="F12" s="1">
        <f t="shared" ca="1" si="2"/>
        <v>68.573660714064857</v>
      </c>
      <c r="G12" s="1">
        <f t="shared" ca="1" si="3"/>
        <v>107.93243801756009</v>
      </c>
    </row>
    <row r="13" spans="1:7" x14ac:dyDescent="0.35">
      <c r="A13" s="1">
        <v>2024</v>
      </c>
      <c r="B13" s="1">
        <v>86</v>
      </c>
      <c r="C13" s="1">
        <f t="shared" si="0"/>
        <v>1.5513282159785158</v>
      </c>
      <c r="D13" s="1">
        <f t="shared" si="1"/>
        <v>133.41422657415237</v>
      </c>
      <c r="E13" s="1">
        <f t="shared" ca="1" si="4"/>
        <v>107.93243801756009</v>
      </c>
      <c r="F13" s="1">
        <f t="shared" ca="1" si="2"/>
        <v>82.874224759683173</v>
      </c>
      <c r="G13" s="1">
        <f t="shared" ca="1" si="3"/>
        <v>158.47243983202929</v>
      </c>
    </row>
    <row r="14" spans="1:7" x14ac:dyDescent="0.35">
      <c r="A14" s="1">
        <v>2025</v>
      </c>
      <c r="B14" s="1">
        <v>58</v>
      </c>
      <c r="C14" s="1">
        <f t="shared" si="0"/>
        <v>1.6288946267774416</v>
      </c>
      <c r="D14" s="1">
        <f t="shared" si="1"/>
        <v>94.475888353091605</v>
      </c>
      <c r="E14" s="1">
        <f t="shared" ca="1" si="4"/>
        <v>158.47243983202929</v>
      </c>
      <c r="F14" s="1">
        <f t="shared" ca="1" si="2"/>
        <v>101.58177538838966</v>
      </c>
      <c r="G14" s="1">
        <f t="shared" ca="1" si="3"/>
        <v>151.36655279673124</v>
      </c>
    </row>
    <row r="15" spans="1:7" x14ac:dyDescent="0.35">
      <c r="A15" s="1">
        <v>2026</v>
      </c>
      <c r="B15" s="1">
        <v>97</v>
      </c>
      <c r="C15" s="1">
        <f t="shared" si="0"/>
        <v>1.7103393581163138</v>
      </c>
      <c r="D15" s="1">
        <f t="shared" si="1"/>
        <v>165.90291773728242</v>
      </c>
      <c r="E15" s="1">
        <f t="shared" ca="1" si="4"/>
        <v>151.36655279673124</v>
      </c>
      <c r="F15" s="1">
        <f t="shared" ca="1" si="2"/>
        <v>115.07062549754451</v>
      </c>
      <c r="G15" s="1">
        <f t="shared" ca="1" si="3"/>
        <v>202.19884503646912</v>
      </c>
    </row>
    <row r="16" spans="1:7" x14ac:dyDescent="0.35">
      <c r="A16" s="1">
        <v>2027</v>
      </c>
      <c r="B16" s="1">
        <v>83</v>
      </c>
      <c r="C16" s="1">
        <f t="shared" si="0"/>
        <v>1.7958563260221292</v>
      </c>
      <c r="D16" s="1">
        <f t="shared" si="1"/>
        <v>149.05607505983673</v>
      </c>
      <c r="E16" s="1">
        <f t="shared" ca="1" si="4"/>
        <v>202.19884503646912</v>
      </c>
      <c r="F16" s="1">
        <f t="shared" ca="1" si="2"/>
        <v>116.48954794263022</v>
      </c>
      <c r="G16" s="1">
        <f t="shared" ca="1" si="3"/>
        <v>234.76537215367563</v>
      </c>
    </row>
    <row r="17" spans="1:7" x14ac:dyDescent="0.35">
      <c r="A17" s="1">
        <v>2028</v>
      </c>
      <c r="B17" s="1">
        <v>21</v>
      </c>
      <c r="C17" s="1">
        <f t="shared" si="0"/>
        <v>1.885649142323236</v>
      </c>
      <c r="D17" s="1">
        <f t="shared" si="1"/>
        <v>39.598631988787957</v>
      </c>
      <c r="E17" s="1">
        <f t="shared" ca="1" si="4"/>
        <v>234.76537215367563</v>
      </c>
      <c r="F17" s="1">
        <f t="shared" ca="1" si="2"/>
        <v>113.16989550118464</v>
      </c>
      <c r="G17" s="1">
        <f t="shared" ca="1" si="3"/>
        <v>161.19410864127897</v>
      </c>
    </row>
    <row r="18" spans="1:7" x14ac:dyDescent="0.35">
      <c r="A18" s="1">
        <v>2029</v>
      </c>
      <c r="B18" s="1">
        <v>59</v>
      </c>
      <c r="C18" s="1">
        <f t="shared" si="0"/>
        <v>1.9799315994393973</v>
      </c>
      <c r="D18" s="1">
        <f t="shared" si="1"/>
        <v>116.81596436692445</v>
      </c>
      <c r="E18" s="1">
        <f t="shared" ca="1" si="4"/>
        <v>161.19410864127897</v>
      </c>
      <c r="F18" s="1">
        <f t="shared" ca="1" si="2"/>
        <v>123.79549797820773</v>
      </c>
      <c r="G18" s="1">
        <f t="shared" ca="1" si="3"/>
        <v>154.21457502999573</v>
      </c>
    </row>
    <row r="19" spans="1:7" x14ac:dyDescent="0.35">
      <c r="A19" s="1">
        <v>2030</v>
      </c>
      <c r="B19" s="1">
        <v>71</v>
      </c>
      <c r="C19" s="1">
        <f t="shared" si="0"/>
        <v>2.0789281794113679</v>
      </c>
      <c r="D19" s="1">
        <f t="shared" si="1"/>
        <v>147.60390073820713</v>
      </c>
      <c r="E19" s="1">
        <f t="shared" ca="1" si="4"/>
        <v>154.21457502999573</v>
      </c>
      <c r="F19" s="1">
        <f t="shared" ca="1" si="2"/>
        <v>90.614914430751256</v>
      </c>
      <c r="G19" s="1">
        <f t="shared" ca="1" si="3"/>
        <v>211.20356133745162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sourabh232@gmail.com</dc:creator>
  <cp:lastModifiedBy>SOURABH TARODEKAR</cp:lastModifiedBy>
  <dcterms:created xsi:type="dcterms:W3CDTF">2025-12-09T03:43:01Z</dcterms:created>
  <dcterms:modified xsi:type="dcterms:W3CDTF">2025-12-09T04:21:04Z</dcterms:modified>
</cp:coreProperties>
</file>