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oura\Downloads\"/>
    </mc:Choice>
  </mc:AlternateContent>
  <xr:revisionPtr revIDLastSave="0" documentId="13_ncr:1_{925CF7E9-7A8C-4F61-ABDD-2DB7483DF65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cenarios" sheetId="1" r:id="rId1"/>
    <sheet name="Selected_Scen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2" l="1"/>
  <c r="B4" i="2"/>
  <c r="C23" i="2" s="1"/>
  <c r="B3" i="2"/>
  <c r="C22" i="2" l="1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</calcChain>
</file>

<file path=xl/sharedStrings.xml><?xml version="1.0" encoding="utf-8"?>
<sst xmlns="http://schemas.openxmlformats.org/spreadsheetml/2006/main" count="16" uniqueCount="12">
  <si>
    <t>Scenario</t>
  </si>
  <si>
    <t>Inflation rate</t>
  </si>
  <si>
    <t>CapEx Multiplier</t>
  </si>
  <si>
    <t>Useful life (years)</t>
  </si>
  <si>
    <t>Base</t>
  </si>
  <si>
    <t>High Inflation</t>
  </si>
  <si>
    <t>Cost-Control</t>
  </si>
  <si>
    <t>Aggressive Growth</t>
  </si>
  <si>
    <t>Selected Scenario:</t>
  </si>
  <si>
    <t>Year</t>
  </si>
  <si>
    <t>Base CapEx</t>
  </si>
  <si>
    <t>Scenario Adjusted 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</si>
</sst>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E18" sqref="E18"/>
    </sheetView>
  </sheetViews>
  <sheetFormatPr defaultRowHeight="14.5" x14ac:dyDescent="0.35"/>
  <cols>
    <col min="1" max="4" width="2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3">
        <v>0.05</v>
      </c>
      <c r="C2" s="3">
        <v>1</v>
      </c>
      <c r="D2" s="3">
        <v>5</v>
      </c>
    </row>
    <row r="3" spans="1:4" x14ac:dyDescent="0.35">
      <c r="A3" s="2" t="s">
        <v>5</v>
      </c>
      <c r="B3" s="3">
        <v>0.09</v>
      </c>
      <c r="C3" s="3">
        <v>1.2</v>
      </c>
      <c r="D3" s="3">
        <v>5</v>
      </c>
    </row>
    <row r="4" spans="1:4" x14ac:dyDescent="0.35">
      <c r="A4" s="2" t="s">
        <v>6</v>
      </c>
      <c r="B4" s="3">
        <v>0.03</v>
      </c>
      <c r="C4" s="3">
        <v>0.8</v>
      </c>
      <c r="D4" s="3">
        <v>5</v>
      </c>
    </row>
    <row r="5" spans="1:4" x14ac:dyDescent="0.35">
      <c r="A5" s="2" t="s">
        <v>7</v>
      </c>
      <c r="B5" s="3">
        <v>0.05</v>
      </c>
      <c r="C5" s="3">
        <v>1.5</v>
      </c>
      <c r="D5" s="3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workbookViewId="0">
      <selection activeCell="E4" sqref="E4"/>
    </sheetView>
  </sheetViews>
  <sheetFormatPr defaultRowHeight="14.5" x14ac:dyDescent="0.35"/>
  <cols>
    <col min="1" max="3" width="20" customWidth="1"/>
  </cols>
  <sheetData>
    <row r="1" spans="1:3" x14ac:dyDescent="0.35">
      <c r="A1" s="5" t="s">
        <v>8</v>
      </c>
      <c r="B1" s="5" t="s">
        <v>4</v>
      </c>
    </row>
    <row r="3" spans="1:3" x14ac:dyDescent="0.35">
      <c r="A3" s="2" t="s">
        <v>1</v>
      </c>
      <c r="B3" s="3">
        <f>INDEX(Scenarios!$B$2:$B$5, MATCH($B$1, Scenarios!$A$2:$A$5, 0))</f>
        <v>0.05</v>
      </c>
    </row>
    <row r="4" spans="1:3" x14ac:dyDescent="0.35">
      <c r="A4" s="2" t="s">
        <v>2</v>
      </c>
      <c r="B4" s="3">
        <f>INDEX(Scenarios!$C$2:$C$5, MATCH($B$1, Scenarios!$A$2:$A$5, 0))</f>
        <v>1</v>
      </c>
    </row>
    <row r="5" spans="1:3" x14ac:dyDescent="0.35">
      <c r="A5" s="2" t="s">
        <v>3</v>
      </c>
      <c r="B5" s="3">
        <f>INDEX(Scenarios!$D$2:$D$5, MATCH($B$1, Scenarios!$A$2:$A$5, 0))</f>
        <v>5</v>
      </c>
    </row>
    <row r="7" spans="1:3" ht="29" x14ac:dyDescent="0.35">
      <c r="A7" s="4" t="s">
        <v>9</v>
      </c>
      <c r="B7" s="4" t="s">
        <v>10</v>
      </c>
      <c r="C7" s="4" t="s">
        <v>11</v>
      </c>
    </row>
    <row r="8" spans="1:3" x14ac:dyDescent="0.35">
      <c r="A8" s="3">
        <v>2015</v>
      </c>
      <c r="B8" s="3">
        <v>81</v>
      </c>
      <c r="C8" s="3">
        <f t="shared" ref="C8:C23" si="0">B8*$B$4</f>
        <v>81</v>
      </c>
    </row>
    <row r="9" spans="1:3" x14ac:dyDescent="0.35">
      <c r="A9" s="3">
        <v>2016</v>
      </c>
      <c r="B9" s="3">
        <v>55</v>
      </c>
      <c r="C9" s="3">
        <f t="shared" si="0"/>
        <v>55</v>
      </c>
    </row>
    <row r="10" spans="1:3" x14ac:dyDescent="0.35">
      <c r="A10" s="3">
        <v>2017</v>
      </c>
      <c r="B10" s="3">
        <v>95</v>
      </c>
      <c r="C10" s="3">
        <f t="shared" si="0"/>
        <v>95</v>
      </c>
    </row>
    <row r="11" spans="1:3" x14ac:dyDescent="0.35">
      <c r="A11" s="3">
        <v>2018</v>
      </c>
      <c r="B11" s="3">
        <v>13</v>
      </c>
      <c r="C11" s="3">
        <f t="shared" si="0"/>
        <v>13</v>
      </c>
    </row>
    <row r="12" spans="1:3" x14ac:dyDescent="0.35">
      <c r="A12" s="3">
        <v>2019</v>
      </c>
      <c r="B12" s="3">
        <v>67</v>
      </c>
      <c r="C12" s="3">
        <f t="shared" si="0"/>
        <v>67</v>
      </c>
    </row>
    <row r="13" spans="1:3" x14ac:dyDescent="0.35">
      <c r="A13" s="3">
        <v>2020</v>
      </c>
      <c r="B13" s="3">
        <v>18</v>
      </c>
      <c r="C13" s="3">
        <f t="shared" si="0"/>
        <v>18</v>
      </c>
    </row>
    <row r="14" spans="1:3" x14ac:dyDescent="0.35">
      <c r="A14" s="3">
        <v>2021</v>
      </c>
      <c r="B14" s="3">
        <v>54</v>
      </c>
      <c r="C14" s="3">
        <f t="shared" si="0"/>
        <v>54</v>
      </c>
    </row>
    <row r="15" spans="1:3" x14ac:dyDescent="0.35">
      <c r="A15" s="3">
        <v>2022</v>
      </c>
      <c r="B15" s="3">
        <v>58</v>
      </c>
      <c r="C15" s="3">
        <f t="shared" si="0"/>
        <v>58</v>
      </c>
    </row>
    <row r="16" spans="1:3" x14ac:dyDescent="0.35">
      <c r="A16" s="3">
        <v>2023</v>
      </c>
      <c r="B16" s="3">
        <v>22</v>
      </c>
      <c r="C16" s="3">
        <f t="shared" si="0"/>
        <v>22</v>
      </c>
    </row>
    <row r="17" spans="1:3" x14ac:dyDescent="0.35">
      <c r="A17" s="3">
        <v>2024</v>
      </c>
      <c r="B17" s="3">
        <v>86</v>
      </c>
      <c r="C17" s="3">
        <f t="shared" si="0"/>
        <v>86</v>
      </c>
    </row>
    <row r="18" spans="1:3" x14ac:dyDescent="0.35">
      <c r="A18" s="3">
        <v>2025</v>
      </c>
      <c r="B18" s="3">
        <v>58</v>
      </c>
      <c r="C18" s="3">
        <f t="shared" si="0"/>
        <v>58</v>
      </c>
    </row>
    <row r="19" spans="1:3" x14ac:dyDescent="0.35">
      <c r="A19" s="3">
        <v>2026</v>
      </c>
      <c r="B19" s="3">
        <v>97</v>
      </c>
      <c r="C19" s="3">
        <f t="shared" si="0"/>
        <v>97</v>
      </c>
    </row>
    <row r="20" spans="1:3" x14ac:dyDescent="0.35">
      <c r="A20" s="3">
        <v>2027</v>
      </c>
      <c r="B20" s="3">
        <v>83</v>
      </c>
      <c r="C20" s="3">
        <f t="shared" si="0"/>
        <v>83</v>
      </c>
    </row>
    <row r="21" spans="1:3" x14ac:dyDescent="0.35">
      <c r="A21" s="3">
        <v>2028</v>
      </c>
      <c r="B21" s="3">
        <v>21</v>
      </c>
      <c r="C21" s="3">
        <f t="shared" si="0"/>
        <v>21</v>
      </c>
    </row>
    <row r="22" spans="1:3" x14ac:dyDescent="0.35">
      <c r="A22" s="3">
        <v>2029</v>
      </c>
      <c r="B22" s="3">
        <v>59</v>
      </c>
      <c r="C22" s="3">
        <f t="shared" si="0"/>
        <v>59</v>
      </c>
    </row>
    <row r="23" spans="1:3" x14ac:dyDescent="0.35">
      <c r="A23" s="3">
        <v>2030</v>
      </c>
      <c r="B23" s="3">
        <v>71</v>
      </c>
      <c r="C23" s="3">
        <f t="shared" si="0"/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Scenarios</vt:lpstr>
      <vt:lpstr>Selected_Scenario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SOURABH TARODEKAR</cp:lastModifiedBy>
  <dcterms:created xsi:type="dcterms:W3CDTF">2025-12-09T03:43:01Z</dcterms:created>
  <dcterms:modified xsi:type="dcterms:W3CDTF">2025-12-09T04:22:20Z</dcterms:modified>
</cp:coreProperties>
</file>